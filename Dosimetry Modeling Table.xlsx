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615"/>
  <workbookPr/>
  <mc:AlternateContent xmlns:mc="http://schemas.openxmlformats.org/markup-compatibility/2006">
    <mc:Choice Requires="x15">
      <x15ac:absPath xmlns:x15ac="http://schemas.microsoft.com/office/spreadsheetml/2010/11/ac" url="/Users/Emily/tnbc/"/>
    </mc:Choice>
  </mc:AlternateContent>
  <bookViews>
    <workbookView xWindow="7940" yWindow="500" windowWidth="19820" windowHeight="159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B26" i="1"/>
  <c r="B27" i="1"/>
  <c r="B28" i="1"/>
  <c r="B29" i="1"/>
  <c r="B18" i="1"/>
  <c r="B19" i="1"/>
  <c r="B20" i="1"/>
  <c r="B21" i="1"/>
  <c r="B22" i="1"/>
  <c r="B11" i="1"/>
  <c r="B12" i="1"/>
  <c r="B13" i="1"/>
  <c r="B14" i="1"/>
  <c r="B15" i="1"/>
  <c r="B5" i="1"/>
  <c r="B6" i="1"/>
  <c r="B7" i="1"/>
  <c r="B8" i="1"/>
  <c r="B4" i="1"/>
</calcChain>
</file>

<file path=xl/sharedStrings.xml><?xml version="1.0" encoding="utf-8"?>
<sst xmlns="http://schemas.openxmlformats.org/spreadsheetml/2006/main" count="172" uniqueCount="153">
  <si>
    <t>30 Gy</t>
  </si>
  <si>
    <t>40 Gy</t>
  </si>
  <si>
    <t>50 Gy</t>
  </si>
  <si>
    <t>60 Gy</t>
  </si>
  <si>
    <t>70 Gy</t>
  </si>
  <si>
    <t>Heart V25</t>
  </si>
  <si>
    <t>Left Breast</t>
  </si>
  <si>
    <t>Right Breast</t>
  </si>
  <si>
    <t>Left Chest Wall, SCV, ICV, and IMNs</t>
  </si>
  <si>
    <t>Right Chest Wall, SCV, ICV, IMNs, Axilla Level I-II</t>
  </si>
  <si>
    <t>Right Chest Wall, SCV, ICV, and IMNs</t>
  </si>
  <si>
    <t>Left Chest Wall, SCV, ICV, IMNs, Axilla Level I-II</t>
  </si>
  <si>
    <t>8.1% (6.2-10.4%)</t>
  </si>
  <si>
    <t>0.63 (0.43-1.13)</t>
  </si>
  <si>
    <t>Mean Heart Dose (Gy)</t>
  </si>
  <si>
    <t xml:space="preserve">0 (0-0.18%) </t>
  </si>
  <si>
    <t>Mean LAD Dose (Gy)</t>
  </si>
  <si>
    <t>8 (1.6-12.4)</t>
  </si>
  <si>
    <t>10.2% (8.2-13%)</t>
  </si>
  <si>
    <t>0.84 (0.57-1.51)</t>
  </si>
  <si>
    <t>0.02% (0-0.46%)</t>
  </si>
  <si>
    <t>10.7 (2.2-16.5)</t>
  </si>
  <si>
    <t>1.04 (0.71-1.9)</t>
  </si>
  <si>
    <t>0.07% (0-0.68%)</t>
  </si>
  <si>
    <t>13.4 (2.7-20.7)</t>
  </si>
  <si>
    <t>1.25 (0.85-2.27)</t>
  </si>
  <si>
    <t>0.13% (0-0.87%)</t>
  </si>
  <si>
    <t>16 (3.3-24.8)</t>
  </si>
  <si>
    <t>1.46 (1-2.64)</t>
  </si>
  <si>
    <t>0.18% (0-1%)</t>
  </si>
  <si>
    <t>18.7 (3.8-28.9)</t>
  </si>
  <si>
    <t>Ipisilateral Lung V20 (%)</t>
  </si>
  <si>
    <t>11.4% (9.2-14.4%)</t>
  </si>
  <si>
    <t>12.2% (10-15.6%)</t>
  </si>
  <si>
    <t>12.9% (10.8-16.6%)</t>
  </si>
  <si>
    <t>9.9% (8.5-10.3%)</t>
  </si>
  <si>
    <t>0.3 (0.17-0.42)</t>
  </si>
  <si>
    <t>0.2 (0.14-0.32)</t>
  </si>
  <si>
    <t>11.9% (10.2-12.4%)</t>
  </si>
  <si>
    <t>0.4 (0.23-0.56)</t>
  </si>
  <si>
    <t>0.26 (0.19-0.43)</t>
  </si>
  <si>
    <t>13.1% (11.2-13.8%)</t>
  </si>
  <si>
    <t>0.5 (0.29-0.7)</t>
  </si>
  <si>
    <t>0.33 (0.23-0.53)</t>
  </si>
  <si>
    <t>14.3% (12-14.8%)</t>
  </si>
  <si>
    <t>0.6 (0.35-0.84)</t>
  </si>
  <si>
    <t>0.39 (0.28-0.64)</t>
  </si>
  <si>
    <t>0.7 (0.41-0.98</t>
  </si>
  <si>
    <t>0.46 (0.33-0.75)</t>
  </si>
  <si>
    <t>24.9% (19.9-26.5%)</t>
  </si>
  <si>
    <t>1.49 (0.98-2.34)</t>
  </si>
  <si>
    <t>6.7 (6.1-14.2)</t>
  </si>
  <si>
    <t>28.5% (23.1-31.1%)</t>
  </si>
  <si>
    <t>1.99 (1.31-3.11)</t>
  </si>
  <si>
    <t>8.9 (8.15-18.9)</t>
  </si>
  <si>
    <t>30.7% (25.1-33.5%)</t>
  </si>
  <si>
    <t>2.48 (1.63 - 3.9)</t>
  </si>
  <si>
    <t>0.9% (0.11-3.8%)</t>
  </si>
  <si>
    <t>1.6% (0.25-4.6%)</t>
  </si>
  <si>
    <t>11.1 (10.2-23.7)</t>
  </si>
  <si>
    <t>32.6% (26.9-35.4%)</t>
  </si>
  <si>
    <t>2.99 (1.96-4.67)</t>
  </si>
  <si>
    <t>2.7% (0.39-5.1%)</t>
  </si>
  <si>
    <t>13.4 (12.2-28.4)</t>
  </si>
  <si>
    <t>34.3% (21.6 -36.9%)</t>
  </si>
  <si>
    <t>3.5 (2.3-5.5)</t>
  </si>
  <si>
    <t>3.1% (0.53-6.2%)</t>
  </si>
  <si>
    <t>15.6 (14.3-33.1</t>
  </si>
  <si>
    <t>23.9% (21.2-26.1%)</t>
  </si>
  <si>
    <t>0.4 (0.25-0.99)</t>
  </si>
  <si>
    <t>0 (0-0.47%)</t>
  </si>
  <si>
    <t>0.16 (0.14-0.55)</t>
  </si>
  <si>
    <t>27.3% (24.6-30.1%)</t>
  </si>
  <si>
    <t>0.53 (0.33-1.32)</t>
  </si>
  <si>
    <t>0 (0-1.05%)</t>
  </si>
  <si>
    <t>0.22 (0.19-0.73)</t>
  </si>
  <si>
    <t>29.6% (26.7 -32.4%)</t>
  </si>
  <si>
    <t>0.66 (0.41-1.65)</t>
  </si>
  <si>
    <t>0 (0-1.4%)</t>
  </si>
  <si>
    <t>0.27 (0.24-0.91)</t>
  </si>
  <si>
    <t>31.5% (28.7-34.4%)</t>
  </si>
  <si>
    <t>0.79 (0.5-1.98)</t>
  </si>
  <si>
    <t>0 (0-1.7%)</t>
  </si>
  <si>
    <t>0.33 (0.28-1.1)</t>
  </si>
  <si>
    <t>33.1% (30.6-36%)</t>
  </si>
  <si>
    <t>0.93 (0.58-2.3)</t>
  </si>
  <si>
    <t>0.38 (0.33-1.27)</t>
  </si>
  <si>
    <t>25.1% (22.8-26.3%)</t>
  </si>
  <si>
    <t>1.4 (1.1-2)</t>
  </si>
  <si>
    <t>0.5% (0.25-1.4%)</t>
  </si>
  <si>
    <t>11.4 (4.8-14)</t>
  </si>
  <si>
    <t>28.9% (26.6-30%)</t>
  </si>
  <si>
    <t>2.3 (1.5-2.7)</t>
  </si>
  <si>
    <t>1% (0.7-2.3%)</t>
  </si>
  <si>
    <t>15.2 (6.4- 18.6)</t>
  </si>
  <si>
    <t>2.4 (1.9-3.3)</t>
  </si>
  <si>
    <t>19 (8-23.3)</t>
  </si>
  <si>
    <t>33.3% (31-34.2%)</t>
  </si>
  <si>
    <t>31.2% (28.9-32.1%)</t>
  </si>
  <si>
    <t>2.9 (2.2-4)</t>
  </si>
  <si>
    <t>0 (0-1.93%)</t>
  </si>
  <si>
    <t>1.6% (0.94-2.9%)</t>
  </si>
  <si>
    <t>22.8 (9.6-27.9)</t>
  </si>
  <si>
    <t>35.2% (32.9-36%)</t>
  </si>
  <si>
    <t>3.4 (2.6-4.7)</t>
  </si>
  <si>
    <t>2.1% (1.1-3.3%)</t>
  </si>
  <si>
    <t>2.5% (1.3-3.7%)</t>
  </si>
  <si>
    <t>26.7 (11.2-32.6)</t>
  </si>
  <si>
    <t>25.9% (20.9-27.6%)</t>
  </si>
  <si>
    <t>0.41 (0.28-0.58)</t>
  </si>
  <si>
    <t>0.25 (0.16-0.32)</t>
  </si>
  <si>
    <t>29.8% (24.6-30.8%)</t>
  </si>
  <si>
    <t>0.55 (0.38-0.78)</t>
  </si>
  <si>
    <t>0.33 (0.22-0.43)</t>
  </si>
  <si>
    <t>32.2% (26.7-33.2%)</t>
  </si>
  <si>
    <t>0.68 (0.47-0.97)</t>
  </si>
  <si>
    <t>0.42 (0.27-0.54)</t>
  </si>
  <si>
    <t>33.9% (28.6-35.2%)</t>
  </si>
  <si>
    <t>0.82 (0.56-1.17)</t>
  </si>
  <si>
    <t>0 (0-0.01%)</t>
  </si>
  <si>
    <t>0.5 (0.33-0.65)</t>
  </si>
  <si>
    <t>35.3% (30.3-36.9%)</t>
  </si>
  <si>
    <t>0.96 (0.66-1.36)</t>
  </si>
  <si>
    <t>0.59 (0.38-0.76)</t>
  </si>
  <si>
    <t>15.4% (12.7-15.8%)</t>
  </si>
  <si>
    <t>0.3% (0.01-2.5%)</t>
  </si>
  <si>
    <t>80 Gy</t>
  </si>
  <si>
    <t>13.6% (11.4-17.5)</t>
  </si>
  <si>
    <t>1.67 (1.14-3.03)</t>
  </si>
  <si>
    <t>0.24% (0.01-1.21%)</t>
  </si>
  <si>
    <t>21.4 (4.4-33)</t>
  </si>
  <si>
    <t>16.4% (13.4-16.7%)</t>
  </si>
  <si>
    <t>0.8 (0.46-1.12)</t>
  </si>
  <si>
    <t>0.52 (0.37-0.86)</t>
  </si>
  <si>
    <t>36.5% (34.7-37.8%)</t>
  </si>
  <si>
    <t>3.8 (3-5.34)</t>
  </si>
  <si>
    <t>2.8% (1.5-4.1%)</t>
  </si>
  <si>
    <t>30.5 (1.8 -37.2)</t>
  </si>
  <si>
    <t>36.5% (31.9-38.4%)</t>
  </si>
  <si>
    <t>1.1 (0.8-1.6)</t>
  </si>
  <si>
    <t>0 (0-0.02%)</t>
  </si>
  <si>
    <t>0.67 (0.43-0.86)</t>
  </si>
  <si>
    <t>36% (30-38.4%)</t>
  </si>
  <si>
    <t>4 (2.6-6.23)</t>
  </si>
  <si>
    <t>3.5% (0.7-5.9%)</t>
  </si>
  <si>
    <t>17.8 (16.3-17.9)</t>
  </si>
  <si>
    <t>34.6% (32.4-37.6%)</t>
  </si>
  <si>
    <t>1.1 (0.66-2.64)</t>
  </si>
  <si>
    <t>0 (0-2.14%)</t>
  </si>
  <si>
    <t>0.43 (0.38-1.45)</t>
  </si>
  <si>
    <t>Total Dose</t>
  </si>
  <si>
    <t>MHD_L</t>
  </si>
  <si>
    <t>MHD_R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</si>
</sst>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Times Roman"/>
    </font>
    <font>
      <b/>
      <sz val="12"/>
      <color theme="1"/>
      <name val="Times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Times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MHD vs</a:t>
            </a:r>
            <a:r>
              <a:rPr lang="en-US" baseline="0"/>
              <a:t> L breast total dose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8186351706037"/>
                  <c:y val="0.0643981481481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30.0</c:v>
                </c:pt>
                <c:pt idx="1">
                  <c:v>40.0</c:v>
                </c:pt>
                <c:pt idx="2">
                  <c:v>50.0</c:v>
                </c:pt>
                <c:pt idx="3">
                  <c:v>60.0</c:v>
                </c:pt>
                <c:pt idx="4">
                  <c:v>70.0</c:v>
                </c:pt>
                <c:pt idx="5">
                  <c:v>80.0</c:v>
                </c:pt>
              </c:numCache>
            </c:numRef>
          </c:xVal>
          <c:yVal>
            <c:numRef>
              <c:f>Sheet1!$D$10:$D$15</c:f>
              <c:numCache>
                <c:formatCode>General</c:formatCode>
                <c:ptCount val="6"/>
                <c:pt idx="0">
                  <c:v>0.63</c:v>
                </c:pt>
                <c:pt idx="1">
                  <c:v>0.84</c:v>
                </c:pt>
                <c:pt idx="2">
                  <c:v>1.04</c:v>
                </c:pt>
                <c:pt idx="3">
                  <c:v>1.25</c:v>
                </c:pt>
                <c:pt idx="4">
                  <c:v>1.46</c:v>
                </c:pt>
                <c:pt idx="5">
                  <c:v>1.67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330672"/>
        <c:axId val="1539332992"/>
      </c:scatterChart>
      <c:valAx>
        <c:axId val="153933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32992"/>
        <c:crosses val="autoZero"/>
        <c:crossBetween val="midCat"/>
      </c:valAx>
      <c:valAx>
        <c:axId val="15393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33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MHD</a:t>
            </a:r>
            <a:r>
              <a:rPr lang="en-US" baseline="0"/>
              <a:t> vs R breast total dose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9130796150481"/>
                  <c:y val="0.0551388888888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30.0</c:v>
                </c:pt>
                <c:pt idx="1">
                  <c:v>40.0</c:v>
                </c:pt>
                <c:pt idx="2">
                  <c:v>50.0</c:v>
                </c:pt>
                <c:pt idx="3">
                  <c:v>60.0</c:v>
                </c:pt>
                <c:pt idx="4">
                  <c:v>70.0</c:v>
                </c:pt>
                <c:pt idx="5">
                  <c:v>80.0</c:v>
                </c:pt>
              </c:numCache>
            </c:numRef>
          </c:xVal>
          <c:yVal>
            <c:numRef>
              <c:f>Sheet1!$F$10:$F$15</c:f>
              <c:numCache>
                <c:formatCode>General</c:formatCode>
                <c:ptCount val="6"/>
                <c:pt idx="0">
                  <c:v>0.3</c:v>
                </c:pt>
                <c:pt idx="1">
                  <c:v>0.4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378848"/>
        <c:axId val="1545381328"/>
      </c:scatterChart>
      <c:valAx>
        <c:axId val="154537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81328"/>
        <c:crosses val="autoZero"/>
        <c:crossBetween val="midCat"/>
      </c:valAx>
      <c:valAx>
        <c:axId val="154538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37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933450</xdr:colOff>
      <xdr:row>14</xdr:row>
      <xdr:rowOff>120650</xdr:rowOff>
    </xdr:from>
    <xdr:to>
      <xdr:col>4</xdr:col>
      <xdr:colOff>590550</xdr:colOff>
      <xdr:row>28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514350</xdr:colOff>
      <xdr:row>14</xdr:row>
      <xdr:rowOff>107950</xdr:rowOff>
    </xdr:from>
    <xdr:to>
      <xdr:col>7</xdr:col>
      <xdr:colOff>349250</xdr:colOff>
      <xdr:row>28</xdr:row>
      <xdr:rowOff>6350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30" zoomScale="149" workbookViewId="0">
      <selection activeCell="B32" sqref="B32:D38"/>
    </sheetView>
  </sheetViews>
  <sheetFormatPr baseColWidth="10" defaultRowHeight="16" x14ac:dyDescent="0.2"/>
  <cols>
    <col min="1" max="2" width="23.5" customWidth="1"/>
    <col min="3" max="4" width="20.5" customWidth="1"/>
    <col min="5" max="6" width="21.1640625" customWidth="1"/>
    <col min="7" max="7" width="19.83203125" customWidth="1"/>
    <col min="8" max="8" width="18.1640625" customWidth="1"/>
    <col min="9" max="9" width="20.33203125" customWidth="1"/>
    <col min="10" max="10" width="16.6640625" customWidth="1"/>
  </cols>
  <sheetData>
    <row r="1" spans="1:13" ht="48" x14ac:dyDescent="0.2">
      <c r="A1" s="2"/>
      <c r="B1" s="2"/>
      <c r="C1" s="3" t="s">
        <v>6</v>
      </c>
      <c r="D1" s="3"/>
      <c r="E1" s="3" t="s">
        <v>7</v>
      </c>
      <c r="F1" s="3"/>
      <c r="G1" s="3" t="s">
        <v>8</v>
      </c>
      <c r="H1" s="3" t="s">
        <v>10</v>
      </c>
      <c r="I1" s="3" t="s">
        <v>11</v>
      </c>
      <c r="J1" s="3" t="s">
        <v>9</v>
      </c>
      <c r="K1" s="1"/>
      <c r="L1" s="1"/>
      <c r="M1" s="1"/>
    </row>
    <row r="2" spans="1:13" x14ac:dyDescent="0.2">
      <c r="A2" s="4" t="s">
        <v>31</v>
      </c>
      <c r="B2" s="4"/>
      <c r="C2" s="5"/>
      <c r="D2" s="5"/>
      <c r="E2" s="5"/>
      <c r="F2" s="5"/>
      <c r="G2" s="5"/>
      <c r="H2" s="5"/>
      <c r="I2" s="5"/>
      <c r="J2" s="5"/>
    </row>
    <row r="3" spans="1:13" x14ac:dyDescent="0.2">
      <c r="A3" s="6" t="s">
        <v>0</v>
      </c>
      <c r="B3" s="7">
        <v>30</v>
      </c>
      <c r="C3" s="7" t="s">
        <v>12</v>
      </c>
      <c r="D3" s="7">
        <v>8.1000000000000003E-2</v>
      </c>
      <c r="E3" s="8" t="s">
        <v>35</v>
      </c>
      <c r="F3" s="8"/>
      <c r="G3" s="7" t="s">
        <v>49</v>
      </c>
      <c r="H3" s="7" t="s">
        <v>68</v>
      </c>
      <c r="I3" s="7" t="s">
        <v>87</v>
      </c>
      <c r="J3" s="7" t="s">
        <v>108</v>
      </c>
    </row>
    <row r="4" spans="1:13" x14ac:dyDescent="0.2">
      <c r="A4" s="6" t="s">
        <v>1</v>
      </c>
      <c r="B4" s="7">
        <f>B3+10</f>
        <v>40</v>
      </c>
      <c r="C4" s="7" t="s">
        <v>18</v>
      </c>
      <c r="D4" s="7">
        <v>0.10199999999999999</v>
      </c>
      <c r="E4" s="7" t="s">
        <v>38</v>
      </c>
      <c r="F4" s="7"/>
      <c r="G4" s="7" t="s">
        <v>52</v>
      </c>
      <c r="H4" s="7" t="s">
        <v>72</v>
      </c>
      <c r="I4" s="7" t="s">
        <v>91</v>
      </c>
      <c r="J4" s="7" t="s">
        <v>111</v>
      </c>
    </row>
    <row r="5" spans="1:13" x14ac:dyDescent="0.2">
      <c r="A5" s="6" t="s">
        <v>2</v>
      </c>
      <c r="B5" s="7">
        <f t="shared" ref="B5:B8" si="0">B4+10</f>
        <v>50</v>
      </c>
      <c r="C5" s="7" t="s">
        <v>32</v>
      </c>
      <c r="D5" s="7">
        <v>0.114</v>
      </c>
      <c r="E5" s="7" t="s">
        <v>41</v>
      </c>
      <c r="F5" s="7"/>
      <c r="G5" s="7" t="s">
        <v>55</v>
      </c>
      <c r="H5" s="7" t="s">
        <v>76</v>
      </c>
      <c r="I5" s="7" t="s">
        <v>98</v>
      </c>
      <c r="J5" s="7" t="s">
        <v>114</v>
      </c>
    </row>
    <row r="6" spans="1:13" x14ac:dyDescent="0.2">
      <c r="A6" s="6" t="s">
        <v>3</v>
      </c>
      <c r="B6" s="7">
        <f t="shared" si="0"/>
        <v>60</v>
      </c>
      <c r="C6" s="7" t="s">
        <v>33</v>
      </c>
      <c r="D6" s="7">
        <v>0.122</v>
      </c>
      <c r="E6" s="7" t="s">
        <v>44</v>
      </c>
      <c r="F6" s="7"/>
      <c r="G6" s="7" t="s">
        <v>60</v>
      </c>
      <c r="H6" s="7" t="s">
        <v>80</v>
      </c>
      <c r="I6" s="7" t="s">
        <v>97</v>
      </c>
      <c r="J6" s="7" t="s">
        <v>117</v>
      </c>
    </row>
    <row r="7" spans="1:13" x14ac:dyDescent="0.2">
      <c r="A7" s="6" t="s">
        <v>4</v>
      </c>
      <c r="B7" s="7">
        <f t="shared" si="0"/>
        <v>70</v>
      </c>
      <c r="C7" s="7" t="s">
        <v>34</v>
      </c>
      <c r="D7" s="7">
        <v>0.129</v>
      </c>
      <c r="E7" s="7" t="s">
        <v>124</v>
      </c>
      <c r="F7" s="7"/>
      <c r="G7" s="7" t="s">
        <v>64</v>
      </c>
      <c r="H7" s="7" t="s">
        <v>84</v>
      </c>
      <c r="I7" s="7" t="s">
        <v>103</v>
      </c>
      <c r="J7" s="7" t="s">
        <v>121</v>
      </c>
    </row>
    <row r="8" spans="1:13" x14ac:dyDescent="0.2">
      <c r="A8" s="6" t="s">
        <v>126</v>
      </c>
      <c r="B8" s="7">
        <f t="shared" si="0"/>
        <v>80</v>
      </c>
      <c r="C8" s="7" t="s">
        <v>127</v>
      </c>
      <c r="D8" s="7">
        <v>0.13600000000000001</v>
      </c>
      <c r="E8" s="7" t="s">
        <v>131</v>
      </c>
      <c r="F8" s="7"/>
      <c r="G8" s="7" t="s">
        <v>142</v>
      </c>
      <c r="H8" s="7" t="s">
        <v>146</v>
      </c>
      <c r="I8" s="7" t="s">
        <v>134</v>
      </c>
      <c r="J8" s="7" t="s">
        <v>138</v>
      </c>
    </row>
    <row r="9" spans="1:13" x14ac:dyDescent="0.2">
      <c r="A9" s="4" t="s">
        <v>14</v>
      </c>
      <c r="B9" s="5"/>
      <c r="C9" s="7"/>
      <c r="D9" s="7"/>
      <c r="E9" s="7"/>
      <c r="F9" s="7"/>
      <c r="G9" s="7"/>
      <c r="H9" s="7"/>
      <c r="I9" s="7"/>
      <c r="J9" s="7"/>
    </row>
    <row r="10" spans="1:13" x14ac:dyDescent="0.2">
      <c r="A10" s="6" t="s">
        <v>0</v>
      </c>
      <c r="B10" s="7">
        <v>30</v>
      </c>
      <c r="C10" s="7" t="s">
        <v>13</v>
      </c>
      <c r="D10" s="7">
        <v>0.63</v>
      </c>
      <c r="E10" s="7" t="s">
        <v>36</v>
      </c>
      <c r="F10" s="7">
        <v>0.3</v>
      </c>
      <c r="G10" s="7" t="s">
        <v>50</v>
      </c>
      <c r="H10" s="7" t="s">
        <v>69</v>
      </c>
      <c r="I10" s="7" t="s">
        <v>88</v>
      </c>
      <c r="J10" s="7" t="s">
        <v>109</v>
      </c>
    </row>
    <row r="11" spans="1:13" x14ac:dyDescent="0.2">
      <c r="A11" s="6" t="s">
        <v>1</v>
      </c>
      <c r="B11" s="7">
        <f>B10+10</f>
        <v>40</v>
      </c>
      <c r="C11" s="7" t="s">
        <v>19</v>
      </c>
      <c r="D11" s="7">
        <v>0.84</v>
      </c>
      <c r="E11" s="7" t="s">
        <v>39</v>
      </c>
      <c r="F11" s="7">
        <v>0.4</v>
      </c>
      <c r="G11" s="7" t="s">
        <v>53</v>
      </c>
      <c r="H11" s="7" t="s">
        <v>73</v>
      </c>
      <c r="I11" s="7" t="s">
        <v>92</v>
      </c>
      <c r="J11" s="7" t="s">
        <v>112</v>
      </c>
    </row>
    <row r="12" spans="1:13" x14ac:dyDescent="0.2">
      <c r="A12" s="6" t="s">
        <v>2</v>
      </c>
      <c r="B12" s="7">
        <f t="shared" ref="B12:B15" si="1">B11+10</f>
        <v>50</v>
      </c>
      <c r="C12" s="7" t="s">
        <v>22</v>
      </c>
      <c r="D12" s="7">
        <v>1.04</v>
      </c>
      <c r="E12" s="7" t="s">
        <v>42</v>
      </c>
      <c r="F12" s="7">
        <v>0.5</v>
      </c>
      <c r="G12" s="7" t="s">
        <v>56</v>
      </c>
      <c r="H12" s="7" t="s">
        <v>77</v>
      </c>
      <c r="I12" s="7" t="s">
        <v>95</v>
      </c>
      <c r="J12" s="7" t="s">
        <v>115</v>
      </c>
    </row>
    <row r="13" spans="1:13" x14ac:dyDescent="0.2">
      <c r="A13" s="6" t="s">
        <v>3</v>
      </c>
      <c r="B13" s="7">
        <f t="shared" si="1"/>
        <v>60</v>
      </c>
      <c r="C13" s="7" t="s">
        <v>25</v>
      </c>
      <c r="D13" s="7">
        <v>1.25</v>
      </c>
      <c r="E13" s="7" t="s">
        <v>45</v>
      </c>
      <c r="F13" s="7">
        <v>0.6</v>
      </c>
      <c r="G13" s="7" t="s">
        <v>61</v>
      </c>
      <c r="H13" s="7" t="s">
        <v>81</v>
      </c>
      <c r="I13" s="7" t="s">
        <v>99</v>
      </c>
      <c r="J13" s="7" t="s">
        <v>118</v>
      </c>
    </row>
    <row r="14" spans="1:13" x14ac:dyDescent="0.2">
      <c r="A14" s="6" t="s">
        <v>4</v>
      </c>
      <c r="B14" s="7">
        <f t="shared" si="1"/>
        <v>70</v>
      </c>
      <c r="C14" s="7" t="s">
        <v>28</v>
      </c>
      <c r="D14" s="7">
        <v>1.46</v>
      </c>
      <c r="E14" s="7" t="s">
        <v>47</v>
      </c>
      <c r="F14" s="7">
        <v>0.7</v>
      </c>
      <c r="G14" s="7" t="s">
        <v>65</v>
      </c>
      <c r="H14" s="7" t="s">
        <v>85</v>
      </c>
      <c r="I14" s="7" t="s">
        <v>104</v>
      </c>
      <c r="J14" s="7" t="s">
        <v>122</v>
      </c>
    </row>
    <row r="15" spans="1:13" x14ac:dyDescent="0.2">
      <c r="A15" s="6" t="s">
        <v>126</v>
      </c>
      <c r="B15" s="7">
        <f t="shared" si="1"/>
        <v>80</v>
      </c>
      <c r="C15" s="7" t="s">
        <v>128</v>
      </c>
      <c r="D15" s="7">
        <v>1.67</v>
      </c>
      <c r="E15" s="7" t="s">
        <v>132</v>
      </c>
      <c r="F15" s="7">
        <v>0.8</v>
      </c>
      <c r="G15" s="7" t="s">
        <v>143</v>
      </c>
      <c r="H15" s="7" t="s">
        <v>147</v>
      </c>
      <c r="I15" s="7" t="s">
        <v>135</v>
      </c>
      <c r="J15" s="7" t="s">
        <v>139</v>
      </c>
    </row>
    <row r="16" spans="1:13" x14ac:dyDescent="0.2">
      <c r="A16" s="4" t="s">
        <v>5</v>
      </c>
      <c r="B16" s="5"/>
      <c r="C16" s="7"/>
      <c r="D16" s="7"/>
      <c r="E16" s="7"/>
      <c r="F16" s="7"/>
      <c r="G16" s="7"/>
      <c r="H16" s="7"/>
      <c r="I16" s="7"/>
      <c r="J16" s="7"/>
    </row>
    <row r="17" spans="1:10" x14ac:dyDescent="0.2">
      <c r="A17" s="6" t="s">
        <v>0</v>
      </c>
      <c r="B17" s="7">
        <v>30</v>
      </c>
      <c r="C17" s="7" t="s">
        <v>15</v>
      </c>
      <c r="D17" s="7"/>
      <c r="E17" s="7">
        <v>0</v>
      </c>
      <c r="F17" s="7"/>
      <c r="G17" s="7" t="s">
        <v>125</v>
      </c>
      <c r="H17" s="7" t="s">
        <v>70</v>
      </c>
      <c r="I17" s="7" t="s">
        <v>89</v>
      </c>
      <c r="J17" s="7">
        <v>0</v>
      </c>
    </row>
    <row r="18" spans="1:10" x14ac:dyDescent="0.2">
      <c r="A18" s="6" t="s">
        <v>1</v>
      </c>
      <c r="B18" s="7">
        <f>B17+10</f>
        <v>40</v>
      </c>
      <c r="C18" s="7" t="s">
        <v>20</v>
      </c>
      <c r="D18" s="7"/>
      <c r="E18" s="7">
        <v>0</v>
      </c>
      <c r="F18" s="7"/>
      <c r="G18" s="7" t="s">
        <v>57</v>
      </c>
      <c r="H18" s="7" t="s">
        <v>74</v>
      </c>
      <c r="I18" s="7" t="s">
        <v>93</v>
      </c>
      <c r="J18" s="7">
        <v>0</v>
      </c>
    </row>
    <row r="19" spans="1:10" x14ac:dyDescent="0.2">
      <c r="A19" s="6" t="s">
        <v>2</v>
      </c>
      <c r="B19" s="7">
        <f t="shared" ref="B19:B22" si="2">B18+10</f>
        <v>50</v>
      </c>
      <c r="C19" s="7" t="s">
        <v>23</v>
      </c>
      <c r="D19" s="7"/>
      <c r="E19" s="7">
        <v>0</v>
      </c>
      <c r="F19" s="7"/>
      <c r="G19" s="7" t="s">
        <v>58</v>
      </c>
      <c r="H19" s="7" t="s">
        <v>78</v>
      </c>
      <c r="I19" s="7" t="s">
        <v>101</v>
      </c>
      <c r="J19" s="7">
        <v>0</v>
      </c>
    </row>
    <row r="20" spans="1:10" x14ac:dyDescent="0.2">
      <c r="A20" s="6" t="s">
        <v>3</v>
      </c>
      <c r="B20" s="7">
        <f t="shared" si="2"/>
        <v>60</v>
      </c>
      <c r="C20" s="7" t="s">
        <v>26</v>
      </c>
      <c r="D20" s="7"/>
      <c r="E20" s="7">
        <v>0</v>
      </c>
      <c r="F20" s="7"/>
      <c r="G20" s="7" t="s">
        <v>62</v>
      </c>
      <c r="H20" s="7" t="s">
        <v>82</v>
      </c>
      <c r="I20" s="7" t="s">
        <v>105</v>
      </c>
      <c r="J20" s="7" t="s">
        <v>119</v>
      </c>
    </row>
    <row r="21" spans="1:10" x14ac:dyDescent="0.2">
      <c r="A21" s="6" t="s">
        <v>4</v>
      </c>
      <c r="B21" s="7">
        <f t="shared" si="2"/>
        <v>70</v>
      </c>
      <c r="C21" s="7" t="s">
        <v>29</v>
      </c>
      <c r="D21" s="7"/>
      <c r="E21" s="7">
        <v>0</v>
      </c>
      <c r="F21" s="7"/>
      <c r="G21" s="7" t="s">
        <v>66</v>
      </c>
      <c r="H21" s="7" t="s">
        <v>100</v>
      </c>
      <c r="I21" s="8" t="s">
        <v>106</v>
      </c>
      <c r="J21" s="7" t="s">
        <v>119</v>
      </c>
    </row>
    <row r="22" spans="1:10" x14ac:dyDescent="0.2">
      <c r="A22" s="6" t="s">
        <v>126</v>
      </c>
      <c r="B22" s="7">
        <f t="shared" si="2"/>
        <v>80</v>
      </c>
      <c r="C22" s="7" t="s">
        <v>129</v>
      </c>
      <c r="D22" s="7"/>
      <c r="E22" s="7">
        <v>0</v>
      </c>
      <c r="F22" s="7"/>
      <c r="G22" s="7" t="s">
        <v>144</v>
      </c>
      <c r="H22" s="7" t="s">
        <v>148</v>
      </c>
      <c r="I22" s="8" t="s">
        <v>136</v>
      </c>
      <c r="J22" s="7" t="s">
        <v>140</v>
      </c>
    </row>
    <row r="23" spans="1:10" x14ac:dyDescent="0.2">
      <c r="A23" s="4" t="s">
        <v>16</v>
      </c>
      <c r="B23" s="5"/>
      <c r="C23" s="7"/>
      <c r="D23" s="7"/>
      <c r="E23" s="7"/>
      <c r="F23" s="7"/>
      <c r="G23" s="7"/>
      <c r="H23" s="7"/>
      <c r="I23" s="7"/>
      <c r="J23" s="7"/>
    </row>
    <row r="24" spans="1:10" x14ac:dyDescent="0.2">
      <c r="A24" s="6" t="s">
        <v>0</v>
      </c>
      <c r="B24" s="7">
        <v>30</v>
      </c>
      <c r="C24" s="7" t="s">
        <v>17</v>
      </c>
      <c r="D24" s="7"/>
      <c r="E24" s="7" t="s">
        <v>37</v>
      </c>
      <c r="F24" s="7"/>
      <c r="G24" s="7" t="s">
        <v>51</v>
      </c>
      <c r="H24" s="7" t="s">
        <v>71</v>
      </c>
      <c r="I24" s="7" t="s">
        <v>90</v>
      </c>
      <c r="J24" s="7" t="s">
        <v>110</v>
      </c>
    </row>
    <row r="25" spans="1:10" x14ac:dyDescent="0.2">
      <c r="A25" s="6" t="s">
        <v>1</v>
      </c>
      <c r="B25" s="7">
        <f>B24+10</f>
        <v>40</v>
      </c>
      <c r="C25" s="7" t="s">
        <v>21</v>
      </c>
      <c r="D25" s="7"/>
      <c r="E25" s="7" t="s">
        <v>40</v>
      </c>
      <c r="F25" s="7"/>
      <c r="G25" s="7" t="s">
        <v>54</v>
      </c>
      <c r="H25" s="7" t="s">
        <v>75</v>
      </c>
      <c r="I25" s="7" t="s">
        <v>94</v>
      </c>
      <c r="J25" s="7" t="s">
        <v>113</v>
      </c>
    </row>
    <row r="26" spans="1:10" x14ac:dyDescent="0.2">
      <c r="A26" s="6" t="s">
        <v>2</v>
      </c>
      <c r="B26" s="7">
        <f t="shared" ref="B26:B29" si="3">B25+10</f>
        <v>50</v>
      </c>
      <c r="C26" s="7" t="s">
        <v>24</v>
      </c>
      <c r="D26" s="7"/>
      <c r="E26" s="7" t="s">
        <v>43</v>
      </c>
      <c r="F26" s="7"/>
      <c r="G26" s="7" t="s">
        <v>59</v>
      </c>
      <c r="H26" s="7" t="s">
        <v>79</v>
      </c>
      <c r="I26" s="7" t="s">
        <v>96</v>
      </c>
      <c r="J26" s="7" t="s">
        <v>116</v>
      </c>
    </row>
    <row r="27" spans="1:10" x14ac:dyDescent="0.2">
      <c r="A27" s="6" t="s">
        <v>3</v>
      </c>
      <c r="B27" s="7">
        <f t="shared" si="3"/>
        <v>60</v>
      </c>
      <c r="C27" s="7" t="s">
        <v>27</v>
      </c>
      <c r="D27" s="7"/>
      <c r="E27" s="7" t="s">
        <v>46</v>
      </c>
      <c r="F27" s="7"/>
      <c r="G27" s="7" t="s">
        <v>63</v>
      </c>
      <c r="H27" s="7" t="s">
        <v>83</v>
      </c>
      <c r="I27" s="7" t="s">
        <v>102</v>
      </c>
      <c r="J27" s="7" t="s">
        <v>120</v>
      </c>
    </row>
    <row r="28" spans="1:10" x14ac:dyDescent="0.2">
      <c r="A28" s="6" t="s">
        <v>4</v>
      </c>
      <c r="B28" s="7">
        <f t="shared" si="3"/>
        <v>70</v>
      </c>
      <c r="C28" s="7" t="s">
        <v>30</v>
      </c>
      <c r="D28" s="7"/>
      <c r="E28" s="7" t="s">
        <v>48</v>
      </c>
      <c r="F28" s="7"/>
      <c r="G28" s="7" t="s">
        <v>67</v>
      </c>
      <c r="H28" s="7" t="s">
        <v>86</v>
      </c>
      <c r="I28" s="7" t="s">
        <v>107</v>
      </c>
      <c r="J28" s="7" t="s">
        <v>123</v>
      </c>
    </row>
    <row r="29" spans="1:10" x14ac:dyDescent="0.2">
      <c r="A29" s="6" t="s">
        <v>126</v>
      </c>
      <c r="B29" s="7">
        <f t="shared" si="3"/>
        <v>80</v>
      </c>
      <c r="C29" s="7" t="s">
        <v>130</v>
      </c>
      <c r="D29" s="7"/>
      <c r="E29" s="7" t="s">
        <v>133</v>
      </c>
      <c r="F29" s="7"/>
      <c r="G29" s="7" t="s">
        <v>145</v>
      </c>
      <c r="H29" s="7" t="s">
        <v>149</v>
      </c>
      <c r="I29" s="7" t="s">
        <v>137</v>
      </c>
      <c r="J29" s="7" t="s">
        <v>141</v>
      </c>
    </row>
    <row r="32" spans="1:10" x14ac:dyDescent="0.2">
      <c r="B32" t="s">
        <v>150</v>
      </c>
      <c r="C32" s="7" t="s">
        <v>151</v>
      </c>
      <c r="D32" t="s">
        <v>152</v>
      </c>
    </row>
    <row r="33" spans="2:4" x14ac:dyDescent="0.2">
      <c r="B33" s="9">
        <v>30</v>
      </c>
      <c r="C33" s="7">
        <v>0.63</v>
      </c>
      <c r="D33" s="7">
        <v>0.3</v>
      </c>
    </row>
    <row r="34" spans="2:4" x14ac:dyDescent="0.2">
      <c r="B34" s="9">
        <v>40</v>
      </c>
      <c r="C34" s="7">
        <v>0.84</v>
      </c>
      <c r="D34" s="7">
        <v>0.4</v>
      </c>
    </row>
    <row r="35" spans="2:4" x14ac:dyDescent="0.2">
      <c r="B35" s="9">
        <v>50</v>
      </c>
      <c r="C35" s="7">
        <v>1.04</v>
      </c>
      <c r="D35" s="7">
        <v>0.5</v>
      </c>
    </row>
    <row r="36" spans="2:4" x14ac:dyDescent="0.2">
      <c r="B36" s="9">
        <v>60</v>
      </c>
      <c r="C36" s="7">
        <v>1.25</v>
      </c>
      <c r="D36" s="7">
        <v>0.6</v>
      </c>
    </row>
    <row r="37" spans="2:4" x14ac:dyDescent="0.2">
      <c r="B37" s="9">
        <v>70</v>
      </c>
      <c r="C37" s="7">
        <v>1.46</v>
      </c>
      <c r="D37" s="7">
        <v>0.7</v>
      </c>
    </row>
    <row r="38" spans="2:4" x14ac:dyDescent="0.2">
      <c r="B38" s="9">
        <v>80</v>
      </c>
      <c r="C38" s="7">
        <v>1.67</v>
      </c>
      <c r="D38" s="7">
        <v>0.8</v>
      </c>
    </row>
    <row r="39" spans="2:4" x14ac:dyDescent="0.2">
      <c r="C39" s="7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2018-09-23T21:44:07Z</dcterms:created>
  <dcterms:modified xsi:type="dcterms:W3CDTF">2021-09-13T22:56:01Z</dcterms:modified>
</cp:coreProperties>
</file>